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47D0643A-D3E4-41C9-8126-545FC40CCF9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WORK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C35" i="3" l="1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<sst xmlns="http://schemas.openxmlformats.org/spreadsheetml/2006/main" count="322" uniqueCount="133">
  <si>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</si>
  <si>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</si>
  <si>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</si>
  <si>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</si>
  <si>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</si>
  <si>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</si>
  <si>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</si>
  <si>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</si>
  <si>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</si>
  <si>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</si>
  <si>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</si>
  <si>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</si>
  <si>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</si>
  <si>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</si>
  <si>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</si>
  <si>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</si>
  <si>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</si>
  <si>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</si>
  <si>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</si>
  <si>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</si>
  <si>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</si>
  <si>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</si>
  <si>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</si>
  <si>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</si>
  <si>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</si>
  <si>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</si>
  <si>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</si>
  <si>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</si>
  <si>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</si>
  <si>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</si>
  <si>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</si>
  <si>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</si>
  <si>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</si>
  <si>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</si>
  <si>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</si>
  <si>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</si>
  <si>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</si>
  <si>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</si>
  <si>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</si>
  <si>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</si>
  <si>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</si>
  <si>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</si>
  <si>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</si>
  <si>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</si>
  <si>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</si>
  <si>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</si>
  <si>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</si>
  <si>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</si>
  <si>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</si>
  <si>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</si>
  <si>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</si>
  <si>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</si>
  <si>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</si>
  <si>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</si>
  <si>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</si>
  <si>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</si>
  <si>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</si>
  <si>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</si>
  <si>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</si>
  <si>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</si>
  <si>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</si>
  <si>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</si>
  <si>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</si>
  <si>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</si>
  <si>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</si>
  <si>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</si>
  <si>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</si>
  <si>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</si>
  <si>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</si>
  <si>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</si>
  <si>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</si>
  <si>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</si>
  <si>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</si>
  <si>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</si>
  <si>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</si>
  <si>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</si>
  <si>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</si>
  <si>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</si>
  <si>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</si>
  <si>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</si>
  <si>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</si>
  <si>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</si>
  <si>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</si>
  <si>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</si>
  <si>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</si>
  <si>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</si>
  <si>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</si>
  <si>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</si>
  <si>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</si>
  <si>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</si>
  <si>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</si>
  <si>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</si>
  <si>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</si>
  <si>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</si>
  <si>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</si>
  <si>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</si>
  <si>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</si>
  <si>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</si>
  <si>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</si>
  <si>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</si>
  <si>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</si>
  <si>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</si>
  <si>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</si>
  <si>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</si>
  <si>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</si>
  <si>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</si>
  <si>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</si>
  <si>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</si>
  <si>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</si>
  <si>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</si>
  <si>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</si>
  <si>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</si>
  <si>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</si>
  <si>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</si>
  <si>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</si>
  <si>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</si>
  <si>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Manufacturing Date </t>
  </si>
  <si>
    <t>Country code</t>
  </si>
  <si>
    <t>Product Brand</t>
  </si>
  <si>
    <t>US</t>
  </si>
  <si>
    <t>UK</t>
  </si>
  <si>
    <t>Unknown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</si>
  <si>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</si>
  <si>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</si>
  <si>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</si>
  <si>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</si>
  <si>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</si>
  <si>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</si>
  <si>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</si>
  <si>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</si>
  <si>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</si>
  <si>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</si>
  <si>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Median of price: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</si>
</sst>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&quot;₹&quot;\ #,##0.00"/>
    <numFmt numFmtId="166" formatCode="[$$-45C]#,##0.0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2" borderId="1" xfId="0" applyFont="1" applyFill="1" applyBorder="1" applyAlignment="1">
      <alignment horizontal="center"/>
    </xf>
    <xf numFmtId="0" fontId="5" fillId="0" borderId="1" xfId="0" applyFont="1" applyBorder="1"/>
    <xf numFmtId="14" fontId="5" fillId="0" borderId="1" xfId="0" applyNumberFormat="1" applyFont="1" applyBorder="1"/>
    <xf numFmtId="49" fontId="5" fillId="0" borderId="1" xfId="0" applyNumberFormat="1" applyFont="1" applyBorder="1"/>
    <xf numFmtId="0" fontId="5" fillId="3" borderId="1" xfId="0" applyFont="1" applyFill="1" applyBorder="1"/>
    <xf numFmtId="49" fontId="5" fillId="3" borderId="1" xfId="0" applyNumberFormat="1" applyFont="1" applyFill="1" applyBorder="1"/>
    <xf numFmtId="165" fontId="7" fillId="2" borderId="1" xfId="0" applyNumberFormat="1" applyFont="1" applyFill="1" applyBorder="1" applyAlignment="1">
      <alignment horizontal="center"/>
    </xf>
    <xf numFmtId="166" fontId="5" fillId="0" borderId="1" xfId="0" applyNumberFormat="1" applyFont="1" applyBorder="1"/>
    <xf numFmtId="166" fontId="5" fillId="3" borderId="1" xfId="0" applyNumberFormat="1" applyFont="1" applyFill="1" applyBorder="1"/>
    <xf numFmtId="166" fontId="0" fillId="0" borderId="0" xfId="0" applyNumberFormat="1"/>
    <xf numFmtId="165" fontId="0" fillId="0" borderId="0" xfId="0" applyNumberFormat="1"/>
    <xf numFmtId="0" fontId="8" fillId="0" borderId="0" xfId="0" applyFont="1"/>
    <xf numFmtId="164" fontId="8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B1" zoomScale="55" workbookViewId="0">
      <selection activeCell="F24" sqref="F24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146A-3E2A-4EB1-ACD1-19BE8637A067}">
  <dimension ref="A1:I35"/>
  <sheetViews>
    <sheetView tabSelected="1" zoomScale="74" workbookViewId="0">
      <selection activeCell="J35" sqref="J35"/>
    </sheetView>
  </sheetViews>
  <sheetFormatPr defaultRowHeight="13.2" x14ac:dyDescent="0.25"/>
  <cols>
    <col min="1" max="1" width="11" bestFit="1" customWidth="1"/>
    <col min="2" max="2" width="18.77734375" bestFit="1" customWidth="1"/>
    <col min="3" max="3" width="12.88671875" bestFit="1" customWidth="1"/>
    <col min="4" max="4" width="13.6640625" bestFit="1" customWidth="1"/>
    <col min="5" max="5" width="12.33203125" bestFit="1" customWidth="1"/>
    <col min="6" max="6" width="21.88671875" bestFit="1" customWidth="1"/>
    <col min="7" max="7" width="13.44140625" customWidth="1"/>
    <col min="9" max="9" width="11" bestFit="1" customWidth="1"/>
  </cols>
  <sheetData>
    <row r="1" spans="1:9" x14ac:dyDescent="0.25">
      <c r="A1" s="9" t="s">
        <v>19</v>
      </c>
      <c r="B1" s="9" t="s">
        <v>116</v>
      </c>
      <c r="C1" s="9" t="s">
        <v>117</v>
      </c>
      <c r="D1" s="9" t="s">
        <v>20</v>
      </c>
      <c r="E1" s="9" t="s">
        <v>21</v>
      </c>
      <c r="F1" s="9" t="s">
        <v>118</v>
      </c>
      <c r="G1" s="15" t="s">
        <v>22</v>
      </c>
      <c r="H1" s="9" t="s">
        <v>23</v>
      </c>
      <c r="I1" s="9" t="s">
        <v>24</v>
      </c>
    </row>
    <row r="2" spans="1:9" x14ac:dyDescent="0.25">
      <c r="A2" s="10" t="s">
        <v>25</v>
      </c>
      <c r="B2" s="11">
        <v>46050</v>
      </c>
      <c r="C2" s="10" t="s">
        <v>119</v>
      </c>
      <c r="D2" s="12" t="s">
        <v>61</v>
      </c>
      <c r="E2" s="10" t="s">
        <v>27</v>
      </c>
      <c r="F2" s="10" t="str">
        <f>_xlfn.CONCAT($D2," ",$E2)</f>
        <v>Laptop Dell</v>
      </c>
      <c r="G2" s="16">
        <v>1000</v>
      </c>
      <c r="H2" s="10">
        <v>30</v>
      </c>
      <c r="I2" s="10" t="s">
        <v>28</v>
      </c>
    </row>
    <row r="3" spans="1:9" x14ac:dyDescent="0.25">
      <c r="A3" s="13" t="s">
        <v>29</v>
      </c>
      <c r="B3" s="11">
        <v>46050</v>
      </c>
      <c r="C3" s="10" t="s">
        <v>119</v>
      </c>
      <c r="D3" s="13" t="s">
        <v>30</v>
      </c>
      <c r="E3" s="13" t="s">
        <v>31</v>
      </c>
      <c r="F3" s="10" t="str">
        <f t="shared" ref="F3:F32" si="0">_xlfn.CONCAT($D3," ",$E3)</f>
        <v>Sneakers Nike</v>
      </c>
      <c r="G3" s="17">
        <v>80</v>
      </c>
      <c r="H3" s="13">
        <v>15</v>
      </c>
      <c r="I3" s="13" t="s">
        <v>32</v>
      </c>
    </row>
    <row r="4" spans="1:9" x14ac:dyDescent="0.25">
      <c r="A4" s="10" t="s">
        <v>33</v>
      </c>
      <c r="B4" s="11">
        <v>46052</v>
      </c>
      <c r="C4" s="10" t="s">
        <v>119</v>
      </c>
      <c r="D4" s="10" t="s">
        <v>34</v>
      </c>
      <c r="E4" s="10" t="s">
        <v>35</v>
      </c>
      <c r="F4" s="10" t="str">
        <f t="shared" si="0"/>
        <v>Coffee Maker Keurig</v>
      </c>
      <c r="G4" s="17">
        <v>80</v>
      </c>
      <c r="H4" s="10">
        <v>40</v>
      </c>
      <c r="I4" s="10" t="s">
        <v>36</v>
      </c>
    </row>
    <row r="5" spans="1:9" x14ac:dyDescent="0.25">
      <c r="A5" s="13" t="s">
        <v>37</v>
      </c>
      <c r="B5" s="11">
        <v>46053</v>
      </c>
      <c r="C5" s="10" t="s">
        <v>119</v>
      </c>
      <c r="D5" s="14" t="s">
        <v>96</v>
      </c>
      <c r="E5" s="13" t="s">
        <v>39</v>
      </c>
      <c r="F5" s="10" t="str">
        <f t="shared" si="0"/>
        <v>Smartphone Samsung</v>
      </c>
      <c r="G5" s="17">
        <v>900</v>
      </c>
      <c r="H5" s="13">
        <v>25</v>
      </c>
      <c r="I5" s="13" t="s">
        <v>28</v>
      </c>
    </row>
    <row r="6" spans="1:9" x14ac:dyDescent="0.25">
      <c r="A6" s="10" t="s">
        <v>40</v>
      </c>
      <c r="B6" s="11">
        <v>46054</v>
      </c>
      <c r="C6" s="10" t="s">
        <v>119</v>
      </c>
      <c r="D6" s="10" t="s">
        <v>41</v>
      </c>
      <c r="E6" s="10" t="s">
        <v>42</v>
      </c>
      <c r="F6" s="10" t="str">
        <f t="shared" si="0"/>
        <v>Backpack North Face</v>
      </c>
      <c r="G6" s="16">
        <v>70</v>
      </c>
      <c r="H6" s="10">
        <v>20</v>
      </c>
      <c r="I6" s="10" t="s">
        <v>121</v>
      </c>
    </row>
    <row r="7" spans="1:9" x14ac:dyDescent="0.25">
      <c r="A7" s="13" t="s">
        <v>43</v>
      </c>
      <c r="B7" s="11">
        <v>46055</v>
      </c>
      <c r="C7" s="10" t="s">
        <v>120</v>
      </c>
      <c r="D7" s="14" t="s">
        <v>44</v>
      </c>
      <c r="E7" s="13" t="s">
        <v>45</v>
      </c>
      <c r="F7" s="10" t="str">
        <f t="shared" si="0"/>
        <v>Headphones Sony</v>
      </c>
      <c r="G7" s="18">
        <v>130</v>
      </c>
      <c r="H7" s="13">
        <v>45</v>
      </c>
      <c r="I7" s="13" t="s">
        <v>28</v>
      </c>
    </row>
    <row r="8" spans="1:9" x14ac:dyDescent="0.25">
      <c r="A8" s="10" t="s">
        <v>47</v>
      </c>
      <c r="B8" s="11">
        <v>46056</v>
      </c>
      <c r="C8" s="10" t="s">
        <v>120</v>
      </c>
      <c r="D8" s="10" t="s">
        <v>48</v>
      </c>
      <c r="E8" s="10" t="s">
        <v>49</v>
      </c>
      <c r="F8" s="10" t="str">
        <f t="shared" si="0"/>
        <v>T-shirt Adidas</v>
      </c>
      <c r="G8" s="16">
        <v>30</v>
      </c>
      <c r="H8" s="10">
        <v>5</v>
      </c>
      <c r="I8" s="10" t="s">
        <v>32</v>
      </c>
    </row>
    <row r="9" spans="1:9" x14ac:dyDescent="0.25">
      <c r="A9" s="13" t="s">
        <v>50</v>
      </c>
      <c r="B9" s="11">
        <v>46057</v>
      </c>
      <c r="C9" s="10" t="s">
        <v>120</v>
      </c>
      <c r="D9" s="13" t="s">
        <v>51</v>
      </c>
      <c r="E9" s="13" t="s">
        <v>52</v>
      </c>
      <c r="F9" s="10" t="str">
        <f t="shared" si="0"/>
        <v>Blender Ninja</v>
      </c>
      <c r="G9" s="17">
        <v>90</v>
      </c>
      <c r="H9" s="13">
        <v>35</v>
      </c>
      <c r="I9" s="13" t="s">
        <v>36</v>
      </c>
    </row>
    <row r="10" spans="1:9" x14ac:dyDescent="0.25">
      <c r="A10" s="10" t="s">
        <v>53</v>
      </c>
      <c r="B10" s="11">
        <v>46058</v>
      </c>
      <c r="C10" s="10" t="s">
        <v>120</v>
      </c>
      <c r="D10" s="10" t="s">
        <v>54</v>
      </c>
      <c r="E10" s="10" t="s">
        <v>55</v>
      </c>
      <c r="F10" s="10" t="str">
        <f t="shared" si="0"/>
        <v>Tablet Apple</v>
      </c>
      <c r="G10" s="16">
        <v>500</v>
      </c>
      <c r="H10" s="10">
        <v>50</v>
      </c>
      <c r="I10" s="10" t="s">
        <v>28</v>
      </c>
    </row>
    <row r="11" spans="1:9" x14ac:dyDescent="0.25">
      <c r="A11" s="13" t="s">
        <v>56</v>
      </c>
      <c r="B11" s="11">
        <v>46059</v>
      </c>
      <c r="C11" s="10" t="s">
        <v>120</v>
      </c>
      <c r="D11" s="13" t="s">
        <v>57</v>
      </c>
      <c r="E11" s="13" t="s">
        <v>58</v>
      </c>
      <c r="F11" s="10" t="str">
        <f t="shared" si="0"/>
        <v>Hiking Boots Timberland</v>
      </c>
      <c r="G11" s="17">
        <v>130</v>
      </c>
      <c r="H11" s="13">
        <v>10</v>
      </c>
      <c r="I11" s="13" t="s">
        <v>59</v>
      </c>
    </row>
    <row r="12" spans="1:9" x14ac:dyDescent="0.25">
      <c r="A12" s="10" t="s">
        <v>60</v>
      </c>
      <c r="B12" s="11">
        <v>46060</v>
      </c>
      <c r="C12" s="10" t="s">
        <v>122</v>
      </c>
      <c r="D12" s="12" t="s">
        <v>61</v>
      </c>
      <c r="E12" s="10" t="s">
        <v>62</v>
      </c>
      <c r="F12" s="10" t="str">
        <f t="shared" si="0"/>
        <v>Laptop HP</v>
      </c>
      <c r="G12" s="16">
        <v>950</v>
      </c>
      <c r="H12" s="10">
        <v>25</v>
      </c>
      <c r="I12" s="10" t="s">
        <v>28</v>
      </c>
    </row>
    <row r="13" spans="1:9" x14ac:dyDescent="0.25">
      <c r="A13" s="13" t="s">
        <v>63</v>
      </c>
      <c r="B13" s="11">
        <v>46061</v>
      </c>
      <c r="C13" s="10" t="s">
        <v>123</v>
      </c>
      <c r="D13" s="13" t="s">
        <v>30</v>
      </c>
      <c r="E13" s="13" t="s">
        <v>49</v>
      </c>
      <c r="F13" s="10" t="str">
        <f t="shared" si="0"/>
        <v>Sneakers Adidas</v>
      </c>
      <c r="G13" s="17">
        <v>90</v>
      </c>
      <c r="H13" s="13">
        <v>40</v>
      </c>
      <c r="I13" s="13" t="s">
        <v>121</v>
      </c>
    </row>
    <row r="14" spans="1:9" x14ac:dyDescent="0.25">
      <c r="A14" s="10" t="s">
        <v>64</v>
      </c>
      <c r="B14" s="11">
        <v>46062</v>
      </c>
      <c r="C14" s="10" t="s">
        <v>124</v>
      </c>
      <c r="D14" s="10" t="s">
        <v>34</v>
      </c>
      <c r="E14" s="10" t="s">
        <v>65</v>
      </c>
      <c r="F14" s="10" t="str">
        <f t="shared" si="0"/>
        <v>Coffee Maker Nespresso</v>
      </c>
      <c r="G14" s="16">
        <v>120</v>
      </c>
      <c r="H14" s="10">
        <v>35</v>
      </c>
      <c r="I14" s="10" t="s">
        <v>121</v>
      </c>
    </row>
    <row r="15" spans="1:9" x14ac:dyDescent="0.25">
      <c r="A15" s="13" t="s">
        <v>66</v>
      </c>
      <c r="B15" s="11">
        <v>46063</v>
      </c>
      <c r="C15" s="10" t="s">
        <v>125</v>
      </c>
      <c r="D15" s="13" t="s">
        <v>67</v>
      </c>
      <c r="E15" s="13" t="s">
        <v>68</v>
      </c>
      <c r="F15" s="10" t="str">
        <f t="shared" si="0"/>
        <v>Smartwatch Fitbit</v>
      </c>
      <c r="G15" s="17">
        <v>150</v>
      </c>
      <c r="H15" s="13">
        <v>15</v>
      </c>
      <c r="I15" s="13" t="s">
        <v>28</v>
      </c>
    </row>
    <row r="16" spans="1:9" x14ac:dyDescent="0.25">
      <c r="A16" s="10" t="s">
        <v>69</v>
      </c>
      <c r="B16" s="11">
        <v>46064</v>
      </c>
      <c r="C16" s="10" t="s">
        <v>126</v>
      </c>
      <c r="D16" s="12" t="s">
        <v>44</v>
      </c>
      <c r="E16" s="10" t="s">
        <v>71</v>
      </c>
      <c r="F16" s="10" t="str">
        <f t="shared" si="0"/>
        <v>Headphones Bose</v>
      </c>
      <c r="G16" s="16">
        <v>250</v>
      </c>
      <c r="H16" s="10">
        <v>20</v>
      </c>
      <c r="I16" s="10" t="s">
        <v>28</v>
      </c>
    </row>
    <row r="17" spans="1:9" x14ac:dyDescent="0.25">
      <c r="A17" s="13" t="s">
        <v>72</v>
      </c>
      <c r="B17" s="11">
        <v>46065</v>
      </c>
      <c r="C17" s="10" t="s">
        <v>125</v>
      </c>
      <c r="D17" s="13" t="s">
        <v>73</v>
      </c>
      <c r="E17" s="13" t="s">
        <v>74</v>
      </c>
      <c r="F17" s="10" t="str">
        <f t="shared" si="0"/>
        <v>Laptop Bag Samsonite</v>
      </c>
      <c r="G17" s="17">
        <v>50</v>
      </c>
      <c r="H17" s="13">
        <v>35</v>
      </c>
      <c r="I17" s="13" t="s">
        <v>75</v>
      </c>
    </row>
    <row r="18" spans="1:9" x14ac:dyDescent="0.25">
      <c r="A18" s="10" t="s">
        <v>76</v>
      </c>
      <c r="B18" s="11">
        <v>46066</v>
      </c>
      <c r="C18" s="10" t="s">
        <v>127</v>
      </c>
      <c r="D18" s="10" t="s">
        <v>67</v>
      </c>
      <c r="E18" s="10" t="s">
        <v>77</v>
      </c>
      <c r="F18" s="10" t="str">
        <f t="shared" si="0"/>
        <v>Smartwatch Huawei</v>
      </c>
      <c r="G18" s="16">
        <v>160</v>
      </c>
      <c r="H18" s="10">
        <v>15</v>
      </c>
      <c r="I18" s="10" t="s">
        <v>28</v>
      </c>
    </row>
    <row r="19" spans="1:9" x14ac:dyDescent="0.25">
      <c r="A19" s="13" t="s">
        <v>78</v>
      </c>
      <c r="B19" s="11">
        <v>46067</v>
      </c>
      <c r="C19" s="10" t="s">
        <v>128</v>
      </c>
      <c r="D19" s="14" t="s">
        <v>61</v>
      </c>
      <c r="E19" s="13" t="s">
        <v>79</v>
      </c>
      <c r="F19" s="10" t="str">
        <f t="shared" si="0"/>
        <v>Laptop Asus</v>
      </c>
      <c r="G19" s="17">
        <v>980</v>
      </c>
      <c r="H19" s="13">
        <v>10</v>
      </c>
      <c r="I19" s="13" t="s">
        <v>28</v>
      </c>
    </row>
    <row r="20" spans="1:9" x14ac:dyDescent="0.25">
      <c r="A20" s="10" t="s">
        <v>80</v>
      </c>
      <c r="B20" s="11">
        <v>46068</v>
      </c>
      <c r="C20" s="10" t="s">
        <v>120</v>
      </c>
      <c r="D20" s="10" t="s">
        <v>81</v>
      </c>
      <c r="E20" s="10" t="s">
        <v>82</v>
      </c>
      <c r="F20" s="10" t="str">
        <f t="shared" si="0"/>
        <v>Sunglasses Oakley</v>
      </c>
      <c r="G20" s="16">
        <v>150</v>
      </c>
      <c r="H20" s="10">
        <v>15</v>
      </c>
      <c r="I20" s="10" t="s">
        <v>32</v>
      </c>
    </row>
    <row r="21" spans="1:9" x14ac:dyDescent="0.25">
      <c r="A21" s="13" t="s">
        <v>83</v>
      </c>
      <c r="B21" s="11">
        <v>46069</v>
      </c>
      <c r="C21" s="10" t="s">
        <v>119</v>
      </c>
      <c r="D21" s="13" t="s">
        <v>84</v>
      </c>
      <c r="E21" s="13" t="s">
        <v>85</v>
      </c>
      <c r="F21" s="10" t="str">
        <f t="shared" si="0"/>
        <v>Camping Tent Coleman</v>
      </c>
      <c r="G21" s="18">
        <v>130</v>
      </c>
      <c r="H21" s="13">
        <v>10</v>
      </c>
      <c r="I21" s="13" t="s">
        <v>59</v>
      </c>
    </row>
    <row r="22" spans="1:9" x14ac:dyDescent="0.25">
      <c r="A22" s="10" t="s">
        <v>86</v>
      </c>
      <c r="B22" s="11">
        <v>46070</v>
      </c>
      <c r="C22" s="10" t="s">
        <v>129</v>
      </c>
      <c r="D22" s="10" t="s">
        <v>87</v>
      </c>
      <c r="E22" s="10" t="s">
        <v>88</v>
      </c>
      <c r="F22" s="10" t="str">
        <f t="shared" si="0"/>
        <v>Camera Nikon</v>
      </c>
      <c r="G22" s="16">
        <v>700</v>
      </c>
      <c r="H22" s="10">
        <v>50</v>
      </c>
      <c r="I22" s="10" t="s">
        <v>28</v>
      </c>
    </row>
    <row r="23" spans="1:9" x14ac:dyDescent="0.25">
      <c r="A23" s="13" t="s">
        <v>89</v>
      </c>
      <c r="B23" s="11">
        <v>46071</v>
      </c>
      <c r="C23" s="10" t="s">
        <v>125</v>
      </c>
      <c r="D23" s="13" t="s">
        <v>90</v>
      </c>
      <c r="E23" s="13" t="s">
        <v>91</v>
      </c>
      <c r="F23" s="10" t="str">
        <f t="shared" si="0"/>
        <v>Microwave Panasonic</v>
      </c>
      <c r="G23" s="17">
        <v>80</v>
      </c>
      <c r="H23" s="13">
        <v>20</v>
      </c>
      <c r="I23" s="13" t="s">
        <v>36</v>
      </c>
    </row>
    <row r="24" spans="1:9" x14ac:dyDescent="0.25">
      <c r="A24" s="10" t="s">
        <v>92</v>
      </c>
      <c r="B24" s="11">
        <v>46072</v>
      </c>
      <c r="C24" s="10" t="s">
        <v>130</v>
      </c>
      <c r="D24" s="10" t="s">
        <v>93</v>
      </c>
      <c r="E24" s="10" t="s">
        <v>94</v>
      </c>
      <c r="F24" s="10" t="str">
        <f t="shared" si="0"/>
        <v>Fitness Tracker Xiaomi</v>
      </c>
      <c r="G24" s="16">
        <v>150</v>
      </c>
      <c r="H24" s="10">
        <v>30</v>
      </c>
      <c r="I24" s="10" t="s">
        <v>121</v>
      </c>
    </row>
    <row r="25" spans="1:9" x14ac:dyDescent="0.25">
      <c r="A25" s="10" t="s">
        <v>95</v>
      </c>
      <c r="B25" s="11">
        <v>46073</v>
      </c>
      <c r="C25" s="10" t="s">
        <v>125</v>
      </c>
      <c r="D25" s="12" t="s">
        <v>96</v>
      </c>
      <c r="E25" s="10" t="s">
        <v>97</v>
      </c>
      <c r="F25" s="10" t="str">
        <f t="shared" si="0"/>
        <v>Smartphone Google</v>
      </c>
      <c r="G25" s="16">
        <v>800</v>
      </c>
      <c r="H25" s="10">
        <v>45</v>
      </c>
      <c r="I25" s="10" t="s">
        <v>28</v>
      </c>
    </row>
    <row r="26" spans="1:9" x14ac:dyDescent="0.25">
      <c r="A26" s="13" t="s">
        <v>98</v>
      </c>
      <c r="B26" s="11">
        <v>46074</v>
      </c>
      <c r="C26" s="10" t="s">
        <v>125</v>
      </c>
      <c r="D26" s="13" t="s">
        <v>81</v>
      </c>
      <c r="E26" s="13" t="s">
        <v>99</v>
      </c>
      <c r="F26" s="10" t="str">
        <f t="shared" si="0"/>
        <v>Sunglasses Ray-Ban</v>
      </c>
      <c r="G26" s="17">
        <v>130</v>
      </c>
      <c r="H26" s="13">
        <v>25</v>
      </c>
      <c r="I26" s="13" t="s">
        <v>32</v>
      </c>
    </row>
    <row r="27" spans="1:9" x14ac:dyDescent="0.25">
      <c r="A27" s="10" t="s">
        <v>100</v>
      </c>
      <c r="B27" s="11">
        <v>46075</v>
      </c>
      <c r="C27" s="10" t="s">
        <v>125</v>
      </c>
      <c r="D27" s="10" t="s">
        <v>51</v>
      </c>
      <c r="E27" s="10" t="s">
        <v>101</v>
      </c>
      <c r="F27" s="10" t="str">
        <f t="shared" si="0"/>
        <v>Blender Vitamix</v>
      </c>
      <c r="G27" s="16">
        <v>400</v>
      </c>
      <c r="H27" s="10">
        <v>40</v>
      </c>
      <c r="I27" s="10" t="s">
        <v>36</v>
      </c>
    </row>
    <row r="28" spans="1:9" x14ac:dyDescent="0.25">
      <c r="A28" s="10" t="s">
        <v>102</v>
      </c>
      <c r="B28" s="11">
        <v>46076</v>
      </c>
      <c r="C28" s="10" t="s">
        <v>125</v>
      </c>
      <c r="D28" s="10" t="s">
        <v>103</v>
      </c>
      <c r="E28" s="10" t="s">
        <v>104</v>
      </c>
      <c r="F28" s="10" t="str">
        <f t="shared" si="0"/>
        <v>Dress Zara</v>
      </c>
      <c r="G28" s="16">
        <v>60</v>
      </c>
      <c r="H28" s="10">
        <v>30</v>
      </c>
      <c r="I28" s="10" t="s">
        <v>32</v>
      </c>
    </row>
    <row r="29" spans="1:9" x14ac:dyDescent="0.25">
      <c r="A29" s="13" t="s">
        <v>105</v>
      </c>
      <c r="B29" s="11">
        <v>46077</v>
      </c>
      <c r="C29" s="10" t="s">
        <v>125</v>
      </c>
      <c r="D29" s="13" t="s">
        <v>106</v>
      </c>
      <c r="E29" s="13" t="s">
        <v>107</v>
      </c>
      <c r="F29" s="10" t="str">
        <f t="shared" si="0"/>
        <v>Toaster Hamilton</v>
      </c>
      <c r="G29" s="17">
        <v>40</v>
      </c>
      <c r="H29" s="13">
        <v>10</v>
      </c>
      <c r="I29" s="13" t="s">
        <v>36</v>
      </c>
    </row>
    <row r="30" spans="1:9" x14ac:dyDescent="0.25">
      <c r="A30" s="10" t="s">
        <v>108</v>
      </c>
      <c r="B30" s="11">
        <v>46078</v>
      </c>
      <c r="C30" s="10" t="s">
        <v>125</v>
      </c>
      <c r="D30" s="10" t="s">
        <v>93</v>
      </c>
      <c r="E30" s="10" t="s">
        <v>109</v>
      </c>
      <c r="F30" s="10" t="str">
        <f t="shared" si="0"/>
        <v>Fitness Tracker Garmin</v>
      </c>
      <c r="G30" s="16">
        <v>130</v>
      </c>
      <c r="H30" s="10">
        <v>5</v>
      </c>
      <c r="I30" s="10" t="s">
        <v>28</v>
      </c>
    </row>
    <row r="31" spans="1:9" x14ac:dyDescent="0.25">
      <c r="A31" s="13" t="s">
        <v>110</v>
      </c>
      <c r="B31" s="11">
        <v>46079</v>
      </c>
      <c r="C31" s="10" t="s">
        <v>125</v>
      </c>
      <c r="D31" s="13" t="s">
        <v>111</v>
      </c>
      <c r="E31" s="13" t="s">
        <v>112</v>
      </c>
      <c r="F31" s="10" t="str">
        <f t="shared" si="0"/>
        <v>Jeans Levi's</v>
      </c>
      <c r="G31" s="17">
        <v>50</v>
      </c>
      <c r="H31" s="13">
        <v>50</v>
      </c>
      <c r="I31" s="13" t="s">
        <v>32</v>
      </c>
    </row>
    <row r="32" spans="1:9" x14ac:dyDescent="0.25">
      <c r="A32" s="13" t="s">
        <v>113</v>
      </c>
      <c r="B32" s="11">
        <v>46080</v>
      </c>
      <c r="C32" s="10" t="s">
        <v>131</v>
      </c>
      <c r="D32" s="13" t="s">
        <v>114</v>
      </c>
      <c r="E32" s="13" t="s">
        <v>115</v>
      </c>
      <c r="F32" s="10" t="str">
        <f t="shared" si="0"/>
        <v>Watch Casio</v>
      </c>
      <c r="G32" s="17">
        <v>100</v>
      </c>
      <c r="H32" s="13">
        <v>20</v>
      </c>
      <c r="I32" s="13" t="s">
        <v>75</v>
      </c>
    </row>
    <row r="33" spans="2:7" x14ac:dyDescent="0.25">
      <c r="G33" s="19"/>
    </row>
    <row r="34" spans="2:7" ht="15" x14ac:dyDescent="0.25">
      <c r="B34" s="20"/>
      <c r="C34" s="20"/>
      <c r="G34" s="19"/>
    </row>
    <row r="35" spans="2:7" ht="15" x14ac:dyDescent="0.25">
      <c r="B35" s="20" t="s">
        <v>132</v>
      </c>
      <c r="C35" s="21">
        <f>MEDIAN(G2:G32)</f>
        <v>130</v>
      </c>
      <c r="G35" s="19"/>
    </row>
  </sheetData>
  <conditionalFormatting sqref="G1:G6 G22:G32 G8:G2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{21D9E7E4-3C98-4418-988D-E2221A785962}</x14:id>
        </ext>
      </extLst>
    </cfRule>
  </conditionalFormatting>
  <conditionalFormatting sqref="G2:G3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{ECAA1512-9838-43E7-B776-7FB52A3084AA}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D9E7E4-3C98-4418-988D-E2221A7859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G1:G6 G22:G32 G8:G20</xm:sqref>
        </x14:conditionalFormatting>
        <x14:conditionalFormatting xmlns:xm="http://schemas.microsoft.com/office/excel/2006/main">
          <x14:cfRule type="containsText" priority="2" operator="containsText" id="{40FED094-3719-49F9-B240-367F75D3C577}">
            <xm:f>NOT(ISERROR(SEARCH($I$2,I1)))</xm:f>
            <xm:f>$I$2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I1:I32</xm:sqref>
        </x14:conditionalFormatting>
        <x14:conditionalFormatting xmlns:xm="http://schemas.microsoft.com/office/excel/2006/main">
          <x14:cfRule type="dataBar" id="{ECAA1512-9838-43E7-B776-7FB52A3084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AISWARIYA</dc:creator>
  <cp:lastModifiedBy>AISWARIYA P</cp:lastModifiedBy>
  <dcterms:created xsi:type="dcterms:W3CDTF">2026-10-20T12:57:32Z</dcterms:created>
  <dcterms:modified xsi:type="dcterms:W3CDTF">2026-10-22T04:39:44Z</dcterms:modified>
</cp:coreProperties>
</file>